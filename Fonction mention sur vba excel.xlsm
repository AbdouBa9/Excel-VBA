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/Documents/"/>
    </mc:Choice>
  </mc:AlternateContent>
  <xr:revisionPtr revIDLastSave="0" documentId="13_ncr:1_{CC87D4F4-BBD3-EC48-A7C3-E5B752C2A49B}" xr6:coauthVersionLast="36" xr6:coauthVersionMax="36" xr10:uidLastSave="{00000000-0000-0000-0000-000000000000}"/>
  <bookViews>
    <workbookView xWindow="380" yWindow="460" windowWidth="28040" windowHeight="16260" xr2:uid="{9F5E6118-EC7B-CE4A-9E38-0A0521623F46}"/>
  </bookViews>
  <sheets>
    <sheet name="Feuil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7" i="1"/>
  <c r="C11" i="1"/>
  <c r="C15" i="1"/>
  <c r="C10" i="1"/>
  <c r="C4" i="1"/>
  <c r="C8" i="1"/>
  <c r="C12" i="1"/>
  <c r="C16" i="1"/>
  <c r="C14" i="1"/>
  <c r="C5" i="1"/>
  <c r="C9" i="1"/>
  <c r="C13" i="1"/>
  <c r="C6" i="1"/>
  <c r="C2" i="1"/>
  <c r="B3" i="1"/>
  <c r="B7" i="1"/>
  <c r="B11" i="1"/>
  <c r="B15" i="1"/>
  <c r="B14" i="1"/>
  <c r="B4" i="1"/>
  <c r="B8" i="1"/>
  <c r="B12" i="1"/>
  <c r="B16" i="1"/>
  <c r="B10" i="1"/>
  <c r="B5" i="1"/>
  <c r="B9" i="1"/>
  <c r="B13" i="1"/>
  <c r="B6" i="1"/>
  <c r="B2" i="1"/>
  <c r="I3" i="1"/>
  <c r="I7" i="1"/>
  <c r="I11" i="1"/>
  <c r="I15" i="1"/>
  <c r="I14" i="1"/>
  <c r="I4" i="1"/>
  <c r="I8" i="1"/>
  <c r="I12" i="1"/>
  <c r="I16" i="1"/>
  <c r="I10" i="1"/>
  <c r="I5" i="1"/>
  <c r="I9" i="1"/>
  <c r="I13" i="1"/>
  <c r="I6" i="1"/>
  <c r="I2" i="1"/>
  <c r="F3" i="1"/>
  <c r="F4" i="1"/>
  <c r="F5" i="1"/>
  <c r="F9" i="1"/>
  <c r="F13" i="1"/>
  <c r="F6" i="1"/>
  <c r="F10" i="1"/>
  <c r="F14" i="1"/>
  <c r="F7" i="1"/>
  <c r="F11" i="1"/>
  <c r="F15" i="1"/>
  <c r="F8" i="1"/>
  <c r="F12" i="1"/>
  <c r="F16" i="1"/>
  <c r="F2" i="1"/>
</calcChain>
</file>

<file path=xl/sharedStrings.xml><?xml version="1.0" encoding="utf-8"?>
<sst xmlns="http://schemas.openxmlformats.org/spreadsheetml/2006/main" count="7" uniqueCount="7">
  <si>
    <t>Délibération</t>
  </si>
  <si>
    <t>Mention</t>
  </si>
  <si>
    <t>Moyenne</t>
  </si>
  <si>
    <t>Age</t>
  </si>
  <si>
    <t>Election</t>
  </si>
  <si>
    <t>TTC</t>
  </si>
  <si>
    <t>Prix Achat 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</si>
</sst>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02035-1840-CA4F-8E0C-E9A6F7E15F7F}">
  <sheetPr codeName="Feuil1"/>
  <dimension ref="A1:I16"/>
  <sheetViews>
    <sheetView tabSelected="1" workbookViewId="0">
      <selection activeCell="D22" sqref="D22"/>
    </sheetView>
  </sheetViews>
  <sheetFormatPr baseColWidth="10" defaultRowHeight="19" x14ac:dyDescent="0.25"/>
  <cols>
    <col min="1" max="1" width="10.83203125" style="1"/>
    <col min="2" max="2" width="17.6640625" style="1" customWidth="1"/>
    <col min="3" max="3" width="18.33203125" style="1" customWidth="1"/>
    <col min="6" max="6" width="14" style="1" customWidth="1"/>
    <col min="8" max="8" width="15.5" customWidth="1"/>
  </cols>
  <sheetData>
    <row r="1" spans="1:9" x14ac:dyDescent="0.25">
      <c r="A1" s="1" t="s">
        <v>2</v>
      </c>
      <c r="B1" s="1" t="s">
        <v>0</v>
      </c>
      <c r="C1" s="1" t="s">
        <v>1</v>
      </c>
      <c r="D1" s="1"/>
      <c r="E1" s="1" t="s">
        <v>3</v>
      </c>
      <c r="F1" s="1" t="s">
        <v>4</v>
      </c>
      <c r="H1" s="1" t="s">
        <v>6</v>
      </c>
      <c r="I1" s="1" t="s">
        <v>5</v>
      </c>
    </row>
    <row r="2" spans="1:9" x14ac:dyDescent="0.25">
      <c r="A2" s="1">
        <v>12</v>
      </c>
      <c r="B2" s="1" t="str">
        <f>deliberation(A2)</f>
        <v>Admis(e)</v>
      </c>
      <c r="C2" s="1" t="str">
        <f>Mention(A2)</f>
        <v>assez bien</v>
      </c>
      <c r="E2">
        <v>12</v>
      </c>
      <c r="F2" s="1" t="str">
        <f>Vote(E2)</f>
        <v>Non votant</v>
      </c>
      <c r="H2">
        <v>10000</v>
      </c>
      <c r="I2">
        <f>TVA(H2)</f>
        <v>11800</v>
      </c>
    </row>
    <row r="3" spans="1:9" x14ac:dyDescent="0.25">
      <c r="A3" s="1">
        <v>15</v>
      </c>
      <c r="B3" s="1" t="str">
        <f t="shared" ref="B3:B16" si="0">deliberation(A3)</f>
        <v>Admis(e)</v>
      </c>
      <c r="C3" s="1" t="str">
        <f t="shared" ref="C3:C16" si="1">Mention(A3)</f>
        <v>bien</v>
      </c>
      <c r="E3">
        <v>17</v>
      </c>
      <c r="F3" s="1" t="str">
        <f t="shared" ref="F3:F16" si="2">Vote(E3)</f>
        <v>Non votant</v>
      </c>
      <c r="H3">
        <v>17000</v>
      </c>
      <c r="I3">
        <f t="shared" ref="I3:I16" si="3">TVA(H3)</f>
        <v>20060</v>
      </c>
    </row>
    <row r="4" spans="1:9" x14ac:dyDescent="0.25">
      <c r="A4" s="1">
        <v>10</v>
      </c>
      <c r="B4" s="1" t="str">
        <f t="shared" si="0"/>
        <v>Admis(e)</v>
      </c>
      <c r="C4" s="1" t="str">
        <f t="shared" si="1"/>
        <v>passable</v>
      </c>
      <c r="E4">
        <v>28</v>
      </c>
      <c r="F4" s="1" t="str">
        <f t="shared" si="2"/>
        <v>Peut voter</v>
      </c>
      <c r="H4">
        <v>45000</v>
      </c>
      <c r="I4">
        <f t="shared" si="3"/>
        <v>53100</v>
      </c>
    </row>
    <row r="5" spans="1:9" x14ac:dyDescent="0.25">
      <c r="A5" s="1">
        <v>20</v>
      </c>
      <c r="B5" s="1" t="str">
        <f t="shared" si="0"/>
        <v>Admis(e)</v>
      </c>
      <c r="C5" s="1" t="str">
        <f t="shared" si="1"/>
        <v>excellente</v>
      </c>
      <c r="E5">
        <v>25</v>
      </c>
      <c r="F5" s="1" t="str">
        <f t="shared" si="2"/>
        <v>Peut voter</v>
      </c>
      <c r="H5">
        <v>17500</v>
      </c>
      <c r="I5">
        <f t="shared" si="3"/>
        <v>20650</v>
      </c>
    </row>
    <row r="6" spans="1:9" x14ac:dyDescent="0.25">
      <c r="A6" s="1">
        <v>13</v>
      </c>
      <c r="B6" s="1" t="str">
        <f t="shared" si="0"/>
        <v>Admis(e)</v>
      </c>
      <c r="C6" s="1" t="str">
        <f t="shared" si="1"/>
        <v>assez bien</v>
      </c>
      <c r="E6">
        <v>43</v>
      </c>
      <c r="F6" s="1" t="str">
        <f t="shared" si="2"/>
        <v>Peut voter</v>
      </c>
      <c r="H6">
        <v>44200</v>
      </c>
      <c r="I6">
        <f t="shared" si="3"/>
        <v>52156</v>
      </c>
    </row>
    <row r="7" spans="1:9" x14ac:dyDescent="0.25">
      <c r="A7" s="1">
        <v>16</v>
      </c>
      <c r="B7" s="1" t="str">
        <f t="shared" si="0"/>
        <v>Admis(e)</v>
      </c>
      <c r="C7" s="1" t="str">
        <f t="shared" si="1"/>
        <v>très bien</v>
      </c>
      <c r="E7">
        <v>16</v>
      </c>
      <c r="F7" s="1" t="str">
        <f t="shared" si="2"/>
        <v>Non votant</v>
      </c>
      <c r="H7">
        <v>17600</v>
      </c>
      <c r="I7">
        <f t="shared" si="3"/>
        <v>20768</v>
      </c>
    </row>
    <row r="8" spans="1:9" x14ac:dyDescent="0.25">
      <c r="A8" s="1">
        <v>18</v>
      </c>
      <c r="B8" s="1" t="str">
        <f t="shared" si="0"/>
        <v>Admis(e)</v>
      </c>
      <c r="C8" s="1" t="str">
        <f t="shared" si="1"/>
        <v>très bien</v>
      </c>
      <c r="E8">
        <v>79</v>
      </c>
      <c r="F8" s="1" t="str">
        <f t="shared" si="2"/>
        <v>Peut voter</v>
      </c>
      <c r="H8">
        <v>12540</v>
      </c>
      <c r="I8">
        <f t="shared" si="3"/>
        <v>14797.199999999999</v>
      </c>
    </row>
    <row r="9" spans="1:9" x14ac:dyDescent="0.25">
      <c r="A9" s="1">
        <v>9</v>
      </c>
      <c r="B9" s="1" t="str">
        <f t="shared" si="0"/>
        <v>Ajourné(e)</v>
      </c>
      <c r="C9" s="1" t="str">
        <f t="shared" si="1"/>
        <v>pas de mention</v>
      </c>
      <c r="E9">
        <v>65</v>
      </c>
      <c r="F9" s="1" t="str">
        <f t="shared" si="2"/>
        <v>Peut voter</v>
      </c>
      <c r="H9">
        <v>10100</v>
      </c>
      <c r="I9">
        <f t="shared" si="3"/>
        <v>11918</v>
      </c>
    </row>
    <row r="10" spans="1:9" x14ac:dyDescent="0.25">
      <c r="A10" s="1">
        <v>17</v>
      </c>
      <c r="B10" s="1" t="str">
        <f t="shared" si="0"/>
        <v>Admis(e)</v>
      </c>
      <c r="C10" s="1" t="str">
        <f t="shared" si="1"/>
        <v>très bien</v>
      </c>
      <c r="E10">
        <v>27</v>
      </c>
      <c r="F10" s="1" t="str">
        <f t="shared" si="2"/>
        <v>Peut voter</v>
      </c>
      <c r="H10">
        <v>17000</v>
      </c>
      <c r="I10">
        <f t="shared" si="3"/>
        <v>20060</v>
      </c>
    </row>
    <row r="11" spans="1:9" x14ac:dyDescent="0.25">
      <c r="A11" s="1">
        <v>12</v>
      </c>
      <c r="B11" s="1" t="str">
        <f t="shared" si="0"/>
        <v>Admis(e)</v>
      </c>
      <c r="C11" s="1" t="str">
        <f t="shared" si="1"/>
        <v>assez bien</v>
      </c>
      <c r="E11">
        <v>29</v>
      </c>
      <c r="F11" s="1" t="str">
        <f t="shared" si="2"/>
        <v>Peut voter</v>
      </c>
      <c r="H11">
        <v>14200</v>
      </c>
      <c r="I11">
        <f t="shared" si="3"/>
        <v>16756</v>
      </c>
    </row>
    <row r="12" spans="1:9" x14ac:dyDescent="0.25">
      <c r="A12" s="1">
        <v>11</v>
      </c>
      <c r="B12" s="1" t="str">
        <f t="shared" si="0"/>
        <v>Admis(e)</v>
      </c>
      <c r="C12" s="1" t="str">
        <f t="shared" si="1"/>
        <v>passable</v>
      </c>
      <c r="E12">
        <v>10</v>
      </c>
      <c r="F12" s="1" t="str">
        <f t="shared" si="2"/>
        <v>Non votant</v>
      </c>
      <c r="H12">
        <v>16500</v>
      </c>
      <c r="I12">
        <f t="shared" si="3"/>
        <v>19470</v>
      </c>
    </row>
    <row r="13" spans="1:9" x14ac:dyDescent="0.25">
      <c r="A13" s="1">
        <v>17</v>
      </c>
      <c r="B13" s="1" t="str">
        <f t="shared" si="0"/>
        <v>Admis(e)</v>
      </c>
      <c r="C13" s="1" t="str">
        <f t="shared" si="1"/>
        <v>très bien</v>
      </c>
      <c r="E13">
        <v>11</v>
      </c>
      <c r="F13" s="1" t="str">
        <f t="shared" si="2"/>
        <v>Non votant</v>
      </c>
      <c r="H13">
        <v>18700</v>
      </c>
      <c r="I13">
        <f t="shared" si="3"/>
        <v>22066</v>
      </c>
    </row>
    <row r="14" spans="1:9" x14ac:dyDescent="0.25">
      <c r="A14" s="1">
        <v>20</v>
      </c>
      <c r="B14" s="1" t="str">
        <f t="shared" si="0"/>
        <v>Admis(e)</v>
      </c>
      <c r="C14" s="1" t="str">
        <f t="shared" si="1"/>
        <v>excellente</v>
      </c>
      <c r="E14">
        <v>19</v>
      </c>
      <c r="F14" s="1" t="str">
        <f t="shared" si="2"/>
        <v>Peut voter</v>
      </c>
      <c r="H14">
        <v>99000</v>
      </c>
      <c r="I14">
        <f t="shared" si="3"/>
        <v>116820</v>
      </c>
    </row>
    <row r="15" spans="1:9" x14ac:dyDescent="0.25">
      <c r="A15" s="1">
        <v>18</v>
      </c>
      <c r="B15" s="1" t="str">
        <f t="shared" si="0"/>
        <v>Admis(e)</v>
      </c>
      <c r="C15" s="1" t="str">
        <f t="shared" si="1"/>
        <v>très bien</v>
      </c>
      <c r="E15">
        <v>18</v>
      </c>
      <c r="F15" s="1" t="str">
        <f t="shared" si="2"/>
        <v>Peut voter</v>
      </c>
      <c r="H15">
        <v>150000</v>
      </c>
      <c r="I15">
        <f t="shared" si="3"/>
        <v>177000</v>
      </c>
    </row>
    <row r="16" spans="1:9" x14ac:dyDescent="0.25">
      <c r="A16" s="1">
        <v>3</v>
      </c>
      <c r="B16" s="1" t="str">
        <f t="shared" si="0"/>
        <v>Ajourné(e)</v>
      </c>
      <c r="C16" s="1" t="str">
        <f t="shared" si="1"/>
        <v>pas de mention</v>
      </c>
      <c r="E16">
        <v>17</v>
      </c>
      <c r="F16" s="1" t="str">
        <f t="shared" si="2"/>
        <v>Non votant</v>
      </c>
      <c r="H16">
        <v>120000</v>
      </c>
      <c r="I16">
        <f t="shared" si="3"/>
        <v>141600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2020-02-05T17:14:55Z</dcterms:created>
  <dcterms:modified xsi:type="dcterms:W3CDTF">2020-02-07T22:54:16Z</dcterms:modified>
</cp:coreProperties>
</file>